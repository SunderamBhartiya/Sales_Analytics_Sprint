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sunde\Downloads\"/>
    </mc:Choice>
  </mc:AlternateContent>
  <xr:revisionPtr revIDLastSave="0" documentId="13_ncr:1_{C2928F91-FA48-40EC-B7B0-B06C0D2D3667}" xr6:coauthVersionLast="47" xr6:coauthVersionMax="47" xr10:uidLastSave="{00000000-0000-0000-0000-000000000000}"/>
  <bookViews>
    <workbookView xWindow="-120" yWindow="-120" windowWidth="29040" windowHeight="15720" activeTab="4" xr2:uid="{00000000-000D-0000-FFFF-FFFF00000000}"/>
  </bookViews>
  <sheets>
    <sheet name="Sales+Customer" sheetId="1" r:id="rId1"/>
    <sheet name="Customer" sheetId="2" r:id="rId2"/>
    <sheet name="Excel PS 1 &amp; 3" sheetId="4" r:id="rId3"/>
    <sheet name="Excel PS 2" sheetId="3" r:id="rId4"/>
    <sheet name="Dashboard" sheetId="5" r:id="rId5"/>
  </sheets>
  <definedNames>
    <definedName name="Slicer_City">#N/A</definedName>
    <definedName name="Slicer_Product">#N/A</definedName>
  </definedNames>
  <calcPr calcId="191029"/>
  <pivotCaches>
    <pivotCache cacheId="5" r:id="rId6"/>
    <pivotCache cacheId="1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8" i="5" l="1"/>
  <c r="H3" i="1"/>
  <c r="H4" i="1"/>
  <c r="H5" i="1"/>
  <c r="H6" i="1"/>
  <c r="H7" i="1"/>
  <c r="H8" i="1"/>
  <c r="H9" i="1"/>
  <c r="G3" i="1"/>
  <c r="G4" i="1"/>
  <c r="G5" i="1"/>
  <c r="G6" i="1"/>
  <c r="G7" i="1"/>
  <c r="G8" i="1"/>
  <c r="G9" i="1"/>
  <c r="F3" i="1"/>
  <c r="F4" i="1"/>
  <c r="F5" i="1"/>
  <c r="F6" i="1"/>
  <c r="F7" i="1"/>
  <c r="F8" i="1"/>
  <c r="F9" i="1"/>
  <c r="H2" i="1"/>
  <c r="G2" i="1"/>
  <c r="F2" i="1"/>
  <c r="B7" i="5"/>
</calcChain>
</file>

<file path=xl/sharedStrings.xml><?xml version="1.0" encoding="utf-8"?>
<sst xmlns="http://schemas.openxmlformats.org/spreadsheetml/2006/main" count="117" uniqueCount="74">
  <si>
    <t>SaleID</t>
  </si>
  <si>
    <t>CustomerID</t>
  </si>
  <si>
    <t>Product</t>
  </si>
  <si>
    <t>Amount</t>
  </si>
  <si>
    <t>SaleDate</t>
  </si>
  <si>
    <t>S001</t>
  </si>
  <si>
    <t>C001</t>
  </si>
  <si>
    <t>Shoes</t>
  </si>
  <si>
    <t>S002</t>
  </si>
  <si>
    <t>C002</t>
  </si>
  <si>
    <t>T-Shirt</t>
  </si>
  <si>
    <t>S003</t>
  </si>
  <si>
    <t>C005</t>
  </si>
  <si>
    <t>Bag</t>
  </si>
  <si>
    <t>S004</t>
  </si>
  <si>
    <t>C003</t>
  </si>
  <si>
    <t>Cap</t>
  </si>
  <si>
    <t>S005</t>
  </si>
  <si>
    <t>C004</t>
  </si>
  <si>
    <t>Jeans</t>
  </si>
  <si>
    <t>S006</t>
  </si>
  <si>
    <t>C006</t>
  </si>
  <si>
    <t>Watch</t>
  </si>
  <si>
    <t>S007</t>
  </si>
  <si>
    <t>S008</t>
  </si>
  <si>
    <t>CustomerName</t>
  </si>
  <si>
    <t>City</t>
  </si>
  <si>
    <t>Age</t>
  </si>
  <si>
    <t>Alice</t>
  </si>
  <si>
    <t>Mumbai</t>
  </si>
  <si>
    <t>Bob</t>
  </si>
  <si>
    <t>Delhi</t>
  </si>
  <si>
    <t>Carol</t>
  </si>
  <si>
    <t>Chennai</t>
  </si>
  <si>
    <t>David</t>
  </si>
  <si>
    <t>Bangalore</t>
  </si>
  <si>
    <t>Emma</t>
  </si>
  <si>
    <t>Kolkata</t>
  </si>
  <si>
    <t>Frank</t>
  </si>
  <si>
    <t>C007</t>
  </si>
  <si>
    <t>Grace</t>
  </si>
  <si>
    <t>C008</t>
  </si>
  <si>
    <t>Henry</t>
  </si>
  <si>
    <t>C009</t>
  </si>
  <si>
    <t>Irene</t>
  </si>
  <si>
    <t>C010</t>
  </si>
  <si>
    <t>John</t>
  </si>
  <si>
    <t>C025</t>
  </si>
  <si>
    <t>Zara</t>
  </si>
  <si>
    <t>Row Labels</t>
  </si>
  <si>
    <t>Grand Total</t>
  </si>
  <si>
    <t>Sum of Amount</t>
  </si>
  <si>
    <t>Total_Sales</t>
  </si>
  <si>
    <t>Total Revenue</t>
  </si>
  <si>
    <t>No.of Unique Customers</t>
  </si>
  <si>
    <t>Average of Amount</t>
  </si>
  <si>
    <t>Aug</t>
  </si>
  <si>
    <t>Sep</t>
  </si>
  <si>
    <t>Oct</t>
  </si>
  <si>
    <t>Average Sales per Customer</t>
  </si>
  <si>
    <t>Months</t>
  </si>
  <si>
    <t>Average Sales Per Month</t>
  </si>
  <si>
    <t>Import SQL query results into Excel (Result of 1st SQL Question).</t>
  </si>
  <si>
    <t>Use conditional formatting to highlight top 3 performing cities from  the 1st question's result set “Total Sales per City”.</t>
  </si>
  <si>
    <t>Total Sales per Product</t>
  </si>
  <si>
    <t>Build a dashboard showing:</t>
  </si>
  <si>
    <t>Number of Unique Customers</t>
  </si>
  <si>
    <t>Average Sale per Customer</t>
  </si>
  <si>
    <t>Monthly Sales (Line Chart)</t>
  </si>
  <si>
    <t>Problem Statements:</t>
  </si>
  <si>
    <t>Top 5 Products are Jeans, watch, T-shirt, Shoes and Bag.</t>
  </si>
  <si>
    <t>PS : Create a pivot table to show total sales per product.</t>
  </si>
  <si>
    <t>PS: Add a slicer in Excel to filter the dashboard by City or Product. (Additional to 2nd Excel Question)</t>
  </si>
  <si>
    <t>PS: Visualize the top 5 products in a bar chart. (Additional to 2nd Excel 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</si>
</sst>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x14ac:knownFonts="1">
    <font>
      <sz val="10"/>
      <color rgb="FF000000"/>
      <name val="Arial"/>
      <scheme val="minor"/>
    </font>
    <font>
      <b/>
      <sz val="11"/>
      <color rgb="FF000000"/>
      <name val="Arial"/>
      <family val="2"/>
      <scheme val="minor"/>
    </font>
    <font>
      <sz val="11"/>
      <color rgb="FF000000"/>
      <name val="Arial"/>
      <family val="2"/>
      <scheme val="minor"/>
    </font>
    <font>
      <sz val="10"/>
      <color rgb="FF000000"/>
      <name val="Arial"/>
      <family val="2"/>
      <scheme val="minor"/>
    </font>
    <font>
      <b/>
      <sz val="11"/>
      <color theme="1"/>
      <name val="Arial"/>
      <family val="2"/>
      <scheme val="minor"/>
    </font>
    <font>
      <b/>
      <sz val="10"/>
      <color rgb="FF000000"/>
      <name val="Arial"/>
      <family val="2"/>
      <scheme val="minor"/>
    </font>
    <font>
      <sz val="10"/>
      <color rgb="FF000000"/>
      <name val="Arial"/>
      <family val="2"/>
    </font>
    <font>
      <b/>
      <sz val="14"/>
      <color rgb="FF000000"/>
      <name val="Arial"/>
      <family val="2"/>
      <scheme val="minor"/>
    </font>
    <font>
      <b/>
      <i/>
      <sz val="10"/>
      <color rgb="FF000000"/>
      <name val="Arial"/>
      <family val="2"/>
      <scheme val="minor"/>
    </font>
    <font>
      <b/>
      <i/>
      <sz val="14"/>
      <color rgb="FF000000"/>
      <name val="Arial"/>
      <family val="2"/>
      <scheme val="minor"/>
    </font>
  </fonts>
  <fills count="9">
    <fill>
      <patternFill patternType="none"/>
    </fill>
    <fill>
      <patternFill patternType="gray125"/>
    </fill>
    <fill>
      <patternFill patternType="solid">
        <fgColor rgb="FFFFFF00"/>
        <bgColor indexed="64"/>
      </patternFill>
    </fill>
    <fill>
      <patternFill patternType="solid">
        <fgColor theme="9" tint="-0.499984740745262"/>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tint="0.79998168889431442"/>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33">
    <xf numFmtId="0" fontId="0" fillId="0" borderId="0" xfId="0"/>
    <xf numFmtId="0" fontId="1" fillId="0" borderId="1" xfId="0" applyFont="1" applyBorder="1" applyAlignment="1">
      <alignment horizontal="center" vertical="top"/>
    </xf>
    <xf numFmtId="0" fontId="2" fillId="0" borderId="1" xfId="0" applyFont="1" applyBorder="1" applyAlignment="1">
      <alignment horizontal="left" vertical="top"/>
    </xf>
    <xf numFmtId="0" fontId="1" fillId="0" borderId="1" xfId="0" applyFont="1" applyBorder="1" applyAlignment="1">
      <alignment horizontal="left" vertical="top"/>
    </xf>
    <xf numFmtId="0" fontId="0" fillId="0" borderId="0" xfId="0" pivotButton="1"/>
    <xf numFmtId="0" fontId="0" fillId="0" borderId="0" xfId="0" applyAlignment="1">
      <alignment horizontal="left"/>
    </xf>
    <xf numFmtId="0" fontId="0" fillId="0" borderId="0" xfId="0" applyNumberFormat="1"/>
    <xf numFmtId="0" fontId="4" fillId="2" borderId="2" xfId="0" applyFont="1" applyFill="1" applyBorder="1"/>
    <xf numFmtId="0" fontId="0" fillId="0" borderId="2" xfId="0" applyBorder="1"/>
    <xf numFmtId="0" fontId="0" fillId="3" borderId="0" xfId="0" applyFill="1"/>
    <xf numFmtId="0" fontId="3" fillId="0" borderId="0" xfId="0" applyFont="1"/>
    <xf numFmtId="164" fontId="2" fillId="0" borderId="3" xfId="0" applyNumberFormat="1" applyFont="1" applyBorder="1" applyAlignment="1">
      <alignment horizontal="left" vertical="top"/>
    </xf>
    <xf numFmtId="0" fontId="1" fillId="0" borderId="4" xfId="0" applyFont="1" applyBorder="1" applyAlignment="1">
      <alignment horizontal="left" vertical="top"/>
    </xf>
    <xf numFmtId="0" fontId="0" fillId="4" borderId="0" xfId="0" applyFill="1"/>
    <xf numFmtId="0" fontId="0" fillId="5" borderId="2" xfId="0" applyFill="1" applyBorder="1"/>
    <xf numFmtId="0" fontId="0" fillId="5" borderId="2" xfId="0" applyFill="1" applyBorder="1" applyAlignment="1">
      <alignment horizontal="left"/>
    </xf>
    <xf numFmtId="0" fontId="5" fillId="5" borderId="2" xfId="0" applyFont="1" applyFill="1" applyBorder="1" applyAlignment="1">
      <alignment horizontal="center"/>
    </xf>
    <xf numFmtId="0" fontId="5" fillId="5" borderId="5" xfId="0" applyFont="1" applyFill="1" applyBorder="1"/>
    <xf numFmtId="0" fontId="5" fillId="5" borderId="7" xfId="0" applyFont="1" applyFill="1" applyBorder="1"/>
    <xf numFmtId="0" fontId="6" fillId="0" borderId="0" xfId="0" applyFont="1"/>
    <xf numFmtId="0" fontId="3" fillId="6" borderId="0" xfId="0" applyFont="1" applyFill="1" applyAlignment="1">
      <alignment horizontal="center"/>
    </xf>
    <xf numFmtId="0" fontId="0" fillId="6" borderId="0" xfId="0" applyFill="1" applyAlignment="1">
      <alignment horizontal="center"/>
    </xf>
    <xf numFmtId="0" fontId="3" fillId="0" borderId="0" xfId="0" applyFont="1" applyAlignment="1">
      <alignment horizontal="left" vertical="center" indent="1"/>
    </xf>
    <xf numFmtId="0" fontId="7" fillId="5" borderId="9" xfId="0" applyFont="1" applyFill="1" applyBorder="1"/>
    <xf numFmtId="0" fontId="8" fillId="7" borderId="10" xfId="0" applyFont="1" applyFill="1" applyBorder="1"/>
    <xf numFmtId="0" fontId="0" fillId="8" borderId="10" xfId="0" applyFill="1" applyBorder="1"/>
    <xf numFmtId="0" fontId="0" fillId="8" borderId="11" xfId="0" applyFill="1" applyBorder="1"/>
    <xf numFmtId="0" fontId="9" fillId="0" borderId="0" xfId="0" applyFont="1"/>
    <xf numFmtId="0" fontId="5" fillId="4" borderId="2" xfId="0" applyFont="1" applyFill="1" applyBorder="1" applyAlignment="1">
      <alignment horizontal="left"/>
    </xf>
    <xf numFmtId="0" fontId="8" fillId="4" borderId="2" xfId="0" applyNumberFormat="1" applyFont="1" applyFill="1" applyBorder="1"/>
    <xf numFmtId="0" fontId="8" fillId="5" borderId="2" xfId="0" applyNumberFormat="1" applyFont="1" applyFill="1" applyBorder="1"/>
    <xf numFmtId="0" fontId="8" fillId="4" borderId="6" xfId="0" applyFont="1" applyFill="1" applyBorder="1"/>
    <xf numFmtId="0" fontId="8" fillId="4" borderId="8" xfId="0" applyFont="1" applyFill="1" applyBorder="1"/>
  </cellXfs>
  <cellStyles count="1">
    <cellStyle name="Normal" xfId="0" builtinId="0"/>
  </cellStyles>
  <dxfs count="39">
    <dxf>
      <font>
        <i/>
      </font>
    </dxf>
    <dxf>
      <font>
        <b/>
        <family val="2"/>
      </font>
    </dxf>
    <dxf>
      <font>
        <i/>
      </font>
    </dxf>
    <dxf>
      <font>
        <b/>
        <family val="2"/>
      </font>
    </dxf>
    <dxf>
      <font>
        <b/>
        <family val="2"/>
      </font>
    </dxf>
    <dxf>
      <font>
        <b/>
        <family val="2"/>
      </font>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vertical style="thin">
          <color indexed="64"/>
        </vertic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9" tint="-0.249977111117893"/>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[PS - Excel + SQL Data Set.xlsx]Excel PS 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'Excel PS 2'!$B$3</c:f>
              <c:strCache>
                <c:ptCount val="1"/>
                <c:pt idx="0">
                  <c:v>Total</c:v>
                </c:pt>
              </c:strCache>
            </c:strRef>
          </c:tx>
          <c:spPr>
            <a:solidFill>
              <a:schemeClr val="accent1"/>
            </a:solidFill>
            <a:ln>
              <a:noFill/>
            </a:ln>
            <a:effectLst/>
            <a:sp3d/>
          </c:spPr>
          <c:invertIfNegative val="0"/>
          <c:cat>
            <c:strRef>
              <c:f>'Excel PS 2'!$A$4:$A$10</c:f>
              <c:strCache>
                <c:ptCount val="6"/>
                <c:pt idx="0">
                  <c:v>Bag</c:v>
                </c:pt>
                <c:pt idx="1">
                  <c:v>Cap</c:v>
                </c:pt>
                <c:pt idx="2">
                  <c:v>Jeans</c:v>
                </c:pt>
                <c:pt idx="3">
                  <c:v>Shoes</c:v>
                </c:pt>
                <c:pt idx="4">
                  <c:v>T-Shirt</c:v>
                </c:pt>
                <c:pt idx="5">
                  <c:v>Watch</c:v>
                </c:pt>
              </c:strCache>
            </c:strRef>
          </c:cat>
          <c:val>
            <c:numRef>
              <c:f>'Excel PS 2'!$B$4:$B$10</c:f>
              <c:numCache>
                <c:formatCode>General</c:formatCode>
                <c:ptCount val="6"/>
                <c:pt idx="0">
                  <c:v>950</c:v>
                </c:pt>
                <c:pt idx="1">
                  <c:v>400</c:v>
                </c:pt>
                <c:pt idx="2">
                  <c:v>3150</c:v>
                </c:pt>
                <c:pt idx="3">
                  <c:v>1200</c:v>
                </c:pt>
                <c:pt idx="4">
                  <c:v>1350</c:v>
                </c:pt>
                <c:pt idx="5">
                  <c:v>1800</c:v>
                </c:pt>
              </c:numCache>
            </c:numRef>
          </c:val>
          <c:extLst>
            <c:ext xmlns:c16="http://schemas.microsoft.com/office/drawing/2014/chart" uri="{C3380CC4-5D6E-409C-BE32-E72D297353CC}">
              <c16:uniqueId val="{00000000-2C7F-4A33-8B2A-55BE37C31B4D}"/>
            </c:ext>
          </c:extLst>
        </c:ser>
        <c:dLbls>
          <c:showLegendKey val="0"/>
          <c:showVal val="0"/>
          <c:showCatName val="0"/>
          <c:showSerName val="0"/>
          <c:showPercent val="0"/>
          <c:showBubbleSize val="0"/>
        </c:dLbls>
        <c:gapWidth val="150"/>
        <c:shape val="box"/>
        <c:axId val="775598944"/>
        <c:axId val="775603744"/>
        <c:axId val="0"/>
      </c:bar3DChart>
      <c:catAx>
        <c:axId val="775598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603744"/>
        <c:crosses val="autoZero"/>
        <c:auto val="1"/>
        <c:lblAlgn val="ctr"/>
        <c:lblOffset val="100"/>
        <c:noMultiLvlLbl val="0"/>
      </c:catAx>
      <c:valAx>
        <c:axId val="7756037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598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[PS - Excel + SQL Data Set.xlsx]Dashboard!PivotTable3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 Monthly Sales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
          <c:idx val="0"/>
          <c:spPr>
            <a:solidFill>
              <a:srgbClr val="4285F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Dashboard!$B$19</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circle"/>
            <c:size val="14"/>
            <c:spPr>
              <a:solidFill>
                <a:schemeClr val="accent1"/>
              </a:solidFill>
              <a:ln>
                <a:noFill/>
              </a:ln>
              <a:effectLst/>
            </c:spPr>
          </c:marker>
          <c:dLbls>
            <c:spPr>
              <a:solidFill>
                <a:srgbClr val="4285F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Dashboard!$A$20:$A$23</c:f>
              <c:strCache>
                <c:ptCount val="3"/>
                <c:pt idx="0">
                  <c:v>Aug</c:v>
                </c:pt>
                <c:pt idx="1">
                  <c:v>Sep</c:v>
                </c:pt>
                <c:pt idx="2">
                  <c:v>Oct</c:v>
                </c:pt>
              </c:strCache>
            </c:strRef>
          </c:cat>
          <c:val>
            <c:numRef>
              <c:f>Dashboard!$B$20:$B$23</c:f>
              <c:numCache>
                <c:formatCode>General</c:formatCode>
                <c:ptCount val="3"/>
                <c:pt idx="0">
                  <c:v>950</c:v>
                </c:pt>
                <c:pt idx="1">
                  <c:v>1300</c:v>
                </c:pt>
                <c:pt idx="2">
                  <c:v>1050</c:v>
                </c:pt>
              </c:numCache>
            </c:numRef>
          </c:val>
          <c:smooth val="0"/>
          <c:extLst>
            <c:ext xmlns:c16="http://schemas.microsoft.com/office/drawing/2014/chart" uri="{C3380CC4-5D6E-409C-BE32-E72D297353CC}">
              <c16:uniqueId val="{00000000-6AA6-46A1-8328-B63D58CF8DF2}"/>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79594112"/>
        <c:axId val="279594592"/>
      </c:lineChart>
      <c:catAx>
        <c:axId val="279594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79594592"/>
        <c:crosses val="autoZero"/>
        <c:auto val="1"/>
        <c:lblAlgn val="ctr"/>
        <c:lblOffset val="100"/>
        <c:noMultiLvlLbl val="0"/>
      </c:catAx>
      <c:valAx>
        <c:axId val="279594592"/>
        <c:scaling>
          <c:orientation val="minMax"/>
        </c:scaling>
        <c:delete val="1"/>
        <c:axPos val="l"/>
        <c:numFmt formatCode="General" sourceLinked="1"/>
        <c:majorTickMark val="none"/>
        <c:minorTickMark val="none"/>
        <c:tickLblPos val="nextTo"/>
        <c:crossAx val="279594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xdr:row>
      <xdr:rowOff>19050</xdr:rowOff>
    </xdr:from>
    <xdr:to>
      <xdr:col>3</xdr:col>
      <xdr:colOff>209550</xdr:colOff>
      <xdr:row>29</xdr:row>
      <xdr:rowOff>133350</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767A1C23-681A-7823-D5D6-C94976F8681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23925" y="24479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15</xdr:row>
      <xdr:rowOff>19050</xdr:rowOff>
    </xdr:from>
    <xdr:to>
      <xdr:col>7</xdr:col>
      <xdr:colOff>0</xdr:colOff>
      <xdr:row>29</xdr:row>
      <xdr:rowOff>133350</xdr:rowOff>
    </xdr:to>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02E774E2-6D6E-F8D1-2FBA-2A4172B9ABA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152775" y="2447925"/>
              <a:ext cx="1828800" cy="2381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609599</xdr:colOff>
      <xdr:row>15</xdr:row>
      <xdr:rowOff>0</xdr:rowOff>
    </xdr:from>
    <xdr:to>
      <xdr:col>16</xdr:col>
      <xdr:colOff>276224</xdr:colOff>
      <xdr:row>31</xdr:row>
      <xdr:rowOff>152400</xdr:rowOff>
    </xdr:to>
    <xdr:graphicFrame macro="">
      <xdr:nvGraphicFramePr>
        <xdr:cNvPr id="4" name="Chart 3">
          <a:extLst>
            <a:ext uri="{FF2B5EF4-FFF2-40B4-BE49-F238E27FC236}">
              <a16:creationId xmlns:a16="http://schemas.microsoft.com/office/drawing/2014/main" id="{69B84E33-5E46-B8E5-6D9C-F9F005E28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600075</xdr:colOff>
      <xdr:row>17</xdr:row>
      <xdr:rowOff>152400</xdr:rowOff>
    </xdr:from>
    <xdr:to>
      <xdr:col>8</xdr:col>
      <xdr:colOff>561975</xdr:colOff>
      <xdr:row>34</xdr:row>
      <xdr:rowOff>142875</xdr:rowOff>
    </xdr:to>
    <xdr:graphicFrame macro="">
      <xdr:nvGraphicFramePr>
        <xdr:cNvPr id="2" name="Chart 1">
          <a:extLst>
            <a:ext uri="{FF2B5EF4-FFF2-40B4-BE49-F238E27FC236}">
              <a16:creationId xmlns:a16="http://schemas.microsoft.com/office/drawing/2014/main" id="{16F1C498-8CCF-7FEA-1122-052D8748A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600075</xdr:colOff>
      <xdr:row>0</xdr:row>
      <xdr:rowOff>0</xdr:rowOff>
    </xdr:from>
    <xdr:ext cx="2327945" cy="564193"/>
    <xdr:sp macro="" textlink="">
      <xdr:nvSpPr>
        <xdr:cNvPr id="3" name="TextBox 2">
          <a:extLst>
            <a:ext uri="{FF2B5EF4-FFF2-40B4-BE49-F238E27FC236}">
              <a16:creationId xmlns:a16="http://schemas.microsoft.com/office/drawing/2014/main" id="{B001DC37-DCC5-74B3-26B8-2146EB5D0825}"/>
            </a:ext>
          </a:extLst>
        </xdr:cNvPr>
        <xdr:cNvSpPr txBox="1"/>
      </xdr:nvSpPr>
      <xdr:spPr>
        <a:xfrm>
          <a:off x="7286625" y="0"/>
          <a:ext cx="2327945"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200" b="1" i="1">
              <a:solidFill>
                <a:schemeClr val="bg1"/>
              </a:solidFill>
            </a:rPr>
            <a:t>Dashboard</a:t>
          </a:r>
        </a:p>
      </xdr:txBody>
    </xdr:sp>
    <xdr:clientData/>
  </xdr:oneCellAnchor>
  <xdr:oneCellAnchor>
    <xdr:from>
      <xdr:col>10</xdr:col>
      <xdr:colOff>352425</xdr:colOff>
      <xdr:row>23</xdr:row>
      <xdr:rowOff>38100</xdr:rowOff>
    </xdr:from>
    <xdr:ext cx="4490012" cy="416781"/>
    <xdr:sp macro="" textlink="">
      <xdr:nvSpPr>
        <xdr:cNvPr id="4" name="TextBox 3">
          <a:extLst>
            <a:ext uri="{FF2B5EF4-FFF2-40B4-BE49-F238E27FC236}">
              <a16:creationId xmlns:a16="http://schemas.microsoft.com/office/drawing/2014/main" id="{91276CC5-F859-6585-EA62-E0858B2F6B61}"/>
            </a:ext>
          </a:extLst>
        </xdr:cNvPr>
        <xdr:cNvSpPr txBox="1"/>
      </xdr:nvSpPr>
      <xdr:spPr>
        <a:xfrm>
          <a:off x="8972550" y="3867150"/>
          <a:ext cx="4490012" cy="416781"/>
        </a:xfrm>
        <a:prstGeom prst="rect">
          <a:avLst/>
        </a:prstGeom>
        <a:solidFill>
          <a:schemeClr val="accent6">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solidFill>
                <a:schemeClr val="bg1"/>
              </a:solidFill>
            </a:rPr>
            <a:t>Insight:</a:t>
          </a:r>
        </a:p>
        <a:p>
          <a:r>
            <a:rPr lang="en-IN" sz="1100">
              <a:solidFill>
                <a:schemeClr val="bg1"/>
              </a:solidFill>
            </a:rPr>
            <a:t>Customers</a:t>
          </a:r>
          <a:r>
            <a:rPr lang="en-IN" sz="1100" baseline="0">
              <a:solidFill>
                <a:schemeClr val="bg1"/>
              </a:solidFill>
            </a:rPr>
            <a:t> buying rate increases in September followed by October.</a:t>
          </a:r>
          <a:endParaRPr lang="en-IN" sz="1100">
            <a:solidFill>
              <a:schemeClr val="bg1"/>
            </a:solidFill>
          </a:endParaRPr>
        </a:p>
      </xdr:txBody>
    </xdr:sp>
    <xdr:clientData/>
  </xdr:oneCellAnchor>
  <xdr:twoCellAnchor>
    <xdr:from>
      <xdr:col>9</xdr:col>
      <xdr:colOff>266700</xdr:colOff>
      <xdr:row>23</xdr:row>
      <xdr:rowOff>47625</xdr:rowOff>
    </xdr:from>
    <xdr:to>
      <xdr:col>10</xdr:col>
      <xdr:colOff>219075</xdr:colOff>
      <xdr:row>25</xdr:row>
      <xdr:rowOff>133350</xdr:rowOff>
    </xdr:to>
    <xdr:sp macro="" textlink="">
      <xdr:nvSpPr>
        <xdr:cNvPr id="5" name="Arrow: Right 4">
          <a:extLst>
            <a:ext uri="{FF2B5EF4-FFF2-40B4-BE49-F238E27FC236}">
              <a16:creationId xmlns:a16="http://schemas.microsoft.com/office/drawing/2014/main" id="{0D6A0175-1F20-E39D-B91B-1605D7BCFC77}"/>
            </a:ext>
          </a:extLst>
        </xdr:cNvPr>
        <xdr:cNvSpPr/>
      </xdr:nvSpPr>
      <xdr:spPr>
        <a:xfrm>
          <a:off x="8277225" y="3876675"/>
          <a:ext cx="561975" cy="4095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deram Bhartiya" refreshedDate="45817.838834490743" createdVersion="8" refreshedVersion="8" minRefreshableVersion="3" recordCount="8" xr:uid="{82CD302D-8547-428A-AD78-5C8AFD837EC4}">
  <cacheSource type="worksheet">
    <worksheetSource ref="A1:E9" sheet="Sales+Customer"/>
  </cacheSource>
  <cacheFields count="5">
    <cacheField name="SaleID" numFmtId="0">
      <sharedItems/>
    </cacheField>
    <cacheField name="CustomerID" numFmtId="0">
      <sharedItems count="6">
        <s v="C001"/>
        <s v="C002"/>
        <s v="C005"/>
        <s v="C003"/>
        <s v="C004"/>
        <s v="C006"/>
      </sharedItems>
    </cacheField>
    <cacheField name="Product" numFmtId="0">
      <sharedItems count="6">
        <s v="Shoes"/>
        <s v="T-Shirt"/>
        <s v="Bag"/>
        <s v="Cap"/>
        <s v="Jeans"/>
        <s v="Watch"/>
      </sharedItems>
    </cacheField>
    <cacheField name="Amount" numFmtId="0">
      <sharedItems containsSemiMixedTypes="0" containsString="0" containsNumber="1" containsInteger="1" minValue="400" maxValue="1800"/>
    </cacheField>
    <cacheField name="SaleDate" numFmtId="164">
      <sharedItems containsSemiMixedTypes="0" containsNonDate="0" containsDate="1" containsString="0" minDate="2023-08-01T00:00:00" maxDate="2023-10-05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deram Bhartiya" refreshedDate="45817.852546412039" createdVersion="8" refreshedVersion="8" minRefreshableVersion="3" recordCount="8" xr:uid="{04A20D81-0B3D-4D7B-8583-09A54F7F1909}">
  <cacheSource type="worksheet">
    <worksheetSource ref="A1:H9" sheet="Sales+Customer"/>
  </cacheSource>
  <cacheFields count="10">
    <cacheField name="SaleID" numFmtId="0">
      <sharedItems/>
    </cacheField>
    <cacheField name="CustomerID" numFmtId="0">
      <sharedItems/>
    </cacheField>
    <cacheField name="Product" numFmtId="0">
      <sharedItems count="6">
        <s v="Shoes"/>
        <s v="T-Shirt"/>
        <s v="Bag"/>
        <s v="Cap"/>
        <s v="Jeans"/>
        <s v="Watch"/>
      </sharedItems>
    </cacheField>
    <cacheField name="Amount" numFmtId="0">
      <sharedItems containsSemiMixedTypes="0" containsString="0" containsNumber="1" containsInteger="1" minValue="400" maxValue="1800"/>
    </cacheField>
    <cacheField name="SaleDate" numFmtId="164">
      <sharedItems containsSemiMixedTypes="0" containsNonDate="0" containsDate="1" containsString="0" minDate="2023-08-01T00:00:00" maxDate="2023-10-05T00:00:00" count="8">
        <d v="2023-08-01T00:00:00"/>
        <d v="2023-08-02T00:00:00"/>
        <d v="2023-08-05T00:00:00"/>
        <d v="2023-09-01T00:00:00"/>
        <d v="2023-09-12T00:00:00"/>
        <d v="2023-09-15T00:00:00"/>
        <d v="2023-10-03T00:00:00"/>
        <d v="2023-10-04T00:00:00"/>
      </sharedItems>
      <fieldGroup par="9"/>
    </cacheField>
    <cacheField name="CustomerName" numFmtId="0">
      <sharedItems/>
    </cacheField>
    <cacheField name="City" numFmtId="0">
      <sharedItems count="5">
        <s v="Mumbai"/>
        <s v="Delhi"/>
        <s v="Kolkata"/>
        <s v="Chennai"/>
        <s v="Bangalore"/>
      </sharedItems>
    </cacheField>
    <cacheField name="Age" numFmtId="0">
      <sharedItems containsSemiMixedTypes="0" containsString="0" containsNumber="1" containsInteger="1" minValue="26" maxValue="45"/>
    </cacheField>
    <cacheField name="Days (SaleDate)" numFmtId="0" databaseField="0">
      <fieldGroup base="4">
        <rangePr groupBy="days" startDate="2023-08-01T00:00:00" endDate="2023-10-05T00:00:00"/>
        <groupItems count="368">
          <s v="&lt;01-08-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10-2023"/>
        </groupItems>
      </fieldGroup>
    </cacheField>
    <cacheField name="Months (SaleDate)" numFmtId="0" databaseField="0">
      <fieldGroup base="4">
        <rangePr groupBy="months" startDate="2023-08-01T00:00:00" endDate="2023-10-05T00:00:00"/>
        <groupItems count="14">
          <s v="&lt;01-08-2023"/>
          <s v="Jan"/>
          <s v="Feb"/>
          <s v="Mar"/>
          <s v="Apr"/>
          <s v="May"/>
          <s v="Jun"/>
          <s v="Jul"/>
          <s v="Aug"/>
          <s v="Sep"/>
          <s v="Oct"/>
          <s v="Nov"/>
          <s v="Dec"/>
          <s v="&gt;05-10-2023"/>
        </groupItems>
      </fieldGroup>
    </cacheField>
  </cacheFields>
  <extLst>
    <ext xmlns:x14="http://schemas.microsoft.com/office/spreadsheetml/2009/9/main" uri="{725AE2AE-9491-48be-B2B4-4EB974FC3084}">
      <x14:pivotCacheDefinition pivotCacheId="15668384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S001"/>
    <x v="0"/>
    <x v="0"/>
    <n v="1200"/>
    <d v="2023-08-01T00:00:00"/>
  </r>
  <r>
    <s v="S002"/>
    <x v="1"/>
    <x v="1"/>
    <n v="700"/>
    <d v="2023-08-02T00:00:00"/>
  </r>
  <r>
    <s v="S003"/>
    <x v="2"/>
    <x v="2"/>
    <n v="950"/>
    <d v="2023-08-05T00:00:00"/>
  </r>
  <r>
    <s v="S004"/>
    <x v="3"/>
    <x v="3"/>
    <n v="400"/>
    <d v="2023-09-01T00:00:00"/>
  </r>
  <r>
    <s v="S005"/>
    <x v="4"/>
    <x v="4"/>
    <n v="1700"/>
    <d v="2023-09-12T00:00:00"/>
  </r>
  <r>
    <s v="S006"/>
    <x v="5"/>
    <x v="5"/>
    <n v="1800"/>
    <d v="2023-09-15T00:00:00"/>
  </r>
  <r>
    <s v="S007"/>
    <x v="0"/>
    <x v="1"/>
    <n v="650"/>
    <d v="2023-10-03T00:00:00"/>
  </r>
  <r>
    <s v="S008"/>
    <x v="1"/>
    <x v="4"/>
    <n v="1450"/>
    <d v="2023-10-04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S001"/>
    <s v="C001"/>
    <x v="0"/>
    <n v="1200"/>
    <x v="0"/>
    <s v="Alice"/>
    <x v="0"/>
    <n v="28"/>
  </r>
  <r>
    <s v="S002"/>
    <s v="C002"/>
    <x v="1"/>
    <n v="700"/>
    <x v="1"/>
    <s v="Bob"/>
    <x v="1"/>
    <n v="35"/>
  </r>
  <r>
    <s v="S003"/>
    <s v="C005"/>
    <x v="2"/>
    <n v="950"/>
    <x v="2"/>
    <s v="Emma"/>
    <x v="2"/>
    <n v="26"/>
  </r>
  <r>
    <s v="S004"/>
    <s v="C003"/>
    <x v="3"/>
    <n v="400"/>
    <x v="3"/>
    <s v="Carol"/>
    <x v="3"/>
    <n v="42"/>
  </r>
  <r>
    <s v="S005"/>
    <s v="C004"/>
    <x v="4"/>
    <n v="1700"/>
    <x v="4"/>
    <s v="David"/>
    <x v="4"/>
    <n v="30"/>
  </r>
  <r>
    <s v="S006"/>
    <s v="C006"/>
    <x v="5"/>
    <n v="1800"/>
    <x v="5"/>
    <s v="Frank"/>
    <x v="0"/>
    <n v="45"/>
  </r>
  <r>
    <s v="S007"/>
    <s v="C001"/>
    <x v="1"/>
    <n v="650"/>
    <x v="6"/>
    <s v="Alice"/>
    <x v="0"/>
    <n v="28"/>
  </r>
  <r>
    <s v="S008"/>
    <s v="C002"/>
    <x v="4"/>
    <n v="1450"/>
    <x v="7"/>
    <s v="Bob"/>
    <x v="1"/>
    <n v="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8FFC91-3E4F-47E9-A8C7-027F029F97C5}"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10">
    <pivotField showAll="0"/>
    <pivotField showAll="0"/>
    <pivotField axis="axisRow" showAll="0">
      <items count="7">
        <item x="2"/>
        <item x="3"/>
        <item x="4"/>
        <item x="0"/>
        <item x="1"/>
        <item x="5"/>
        <item t="default"/>
      </items>
    </pivotField>
    <pivotField dataField="1" showAll="0"/>
    <pivotField numFmtId="164" showAll="0">
      <items count="9">
        <item x="0"/>
        <item x="1"/>
        <item x="2"/>
        <item x="3"/>
        <item x="4"/>
        <item x="5"/>
        <item x="6"/>
        <item x="7"/>
        <item t="default"/>
      </items>
    </pivotField>
    <pivotField showAll="0"/>
    <pivotField showAll="0">
      <items count="6">
        <item x="4"/>
        <item x="3"/>
        <item x="1"/>
        <item x="2"/>
        <item x="0"/>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Amount"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775C1D-9383-4840-B498-0760282CD2F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s">
  <location ref="A19:B23" firstHeaderRow="1" firstDataRow="1" firstDataCol="1"/>
  <pivotFields count="10">
    <pivotField showAll="0"/>
    <pivotField showAll="0"/>
    <pivotField showAll="0"/>
    <pivotField dataField="1" showAll="0"/>
    <pivotField numFmtId="164" showAll="0">
      <items count="9">
        <item x="0"/>
        <item x="1"/>
        <item x="2"/>
        <item x="3"/>
        <item x="4"/>
        <item x="5"/>
        <item x="6"/>
        <item x="7"/>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4">
    <i>
      <x v="8"/>
    </i>
    <i>
      <x v="9"/>
    </i>
    <i>
      <x v="10"/>
    </i>
    <i t="grand">
      <x/>
    </i>
  </rowItems>
  <colItems count="1">
    <i/>
  </colItems>
  <dataFields count="1">
    <dataField name="Average of Amount" fld="3" subtotal="average" baseField="9" baseItem="9"/>
  </dataFields>
  <formats count="22">
    <format dxfId="37">
      <pivotArea type="all" dataOnly="0" outline="0" fieldPosition="0"/>
    </format>
    <format dxfId="36">
      <pivotArea outline="0" collapsedLevelsAreSubtotals="1" fieldPosition="0"/>
    </format>
    <format dxfId="35">
      <pivotArea dataOnly="0" labelOnly="1" fieldPosition="0">
        <references count="1">
          <reference field="9" count="3">
            <x v="8"/>
            <x v="9"/>
            <x v="10"/>
          </reference>
        </references>
      </pivotArea>
    </format>
    <format dxfId="34">
      <pivotArea dataOnly="0" labelOnly="1" grandRow="1" outline="0" fieldPosition="0"/>
    </format>
    <format dxfId="26">
      <pivotArea field="9" type="button" dataOnly="0" labelOnly="1" outline="0" axis="axisRow" fieldPosition="0"/>
    </format>
    <format dxfId="25">
      <pivotArea dataOnly="0" labelOnly="1" outline="0" axis="axisValues" fieldPosition="0"/>
    </format>
    <format dxfId="24">
      <pivotArea dataOnly="0" grandRow="1" fieldPosition="0"/>
    </format>
    <format dxfId="17">
      <pivotArea type="all" dataOnly="0" outline="0" fieldPosition="0"/>
    </format>
    <format dxfId="16">
      <pivotArea outline="0" collapsedLevelsAreSubtotals="1" fieldPosition="0"/>
    </format>
    <format dxfId="15">
      <pivotArea field="9" type="button" dataOnly="0" labelOnly="1" outline="0" axis="axisRow" fieldPosition="0"/>
    </format>
    <format dxfId="14">
      <pivotArea dataOnly="0" labelOnly="1" fieldPosition="0">
        <references count="1">
          <reference field="9" count="3">
            <x v="8"/>
            <x v="9"/>
            <x v="10"/>
          </reference>
        </references>
      </pivotArea>
    </format>
    <format dxfId="13">
      <pivotArea dataOnly="0" labelOnly="1" grandRow="1" outline="0"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field="9" type="button" dataOnly="0" labelOnly="1" outline="0" axis="axisRow" fieldPosition="0"/>
    </format>
    <format dxfId="8">
      <pivotArea dataOnly="0" labelOnly="1" fieldPosition="0">
        <references count="1">
          <reference field="9" count="3">
            <x v="8"/>
            <x v="9"/>
            <x v="10"/>
          </reference>
        </references>
      </pivotArea>
    </format>
    <format dxfId="7">
      <pivotArea dataOnly="0" labelOnly="1" grandRow="1" outline="0" fieldPosition="0"/>
    </format>
    <format dxfId="6">
      <pivotArea dataOnly="0" labelOnly="1" outline="0" axis="axisValues" fieldPosition="0"/>
    </format>
    <format dxfId="4">
      <pivotArea dataOnly="0" labelOnly="1" fieldPosition="0">
        <references count="1">
          <reference field="9" count="3">
            <x v="8"/>
            <x v="9"/>
            <x v="10"/>
          </reference>
        </references>
      </pivotArea>
    </format>
    <format dxfId="3">
      <pivotArea outline="0" collapsedLevelsAreSubtotals="1" fieldPosition="0"/>
    </format>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FE9255-DE8F-4730-BA72-101FAE7A8F06}"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ID">
  <location ref="E7:F14" firstHeaderRow="1" firstDataRow="1" firstDataCol="1"/>
  <pivotFields count="5">
    <pivotField showAll="0"/>
    <pivotField axis="axisRow" showAll="0">
      <items count="7">
        <item x="0"/>
        <item x="1"/>
        <item x="3"/>
        <item x="4"/>
        <item x="2"/>
        <item x="5"/>
        <item t="default"/>
      </items>
    </pivotField>
    <pivotField showAll="0"/>
    <pivotField dataField="1" showAll="0"/>
    <pivotField numFmtId="164" showAll="0"/>
  </pivotFields>
  <rowFields count="1">
    <field x="1"/>
  </rowFields>
  <rowItems count="7">
    <i>
      <x/>
    </i>
    <i>
      <x v="1"/>
    </i>
    <i>
      <x v="2"/>
    </i>
    <i>
      <x v="3"/>
    </i>
    <i>
      <x v="4"/>
    </i>
    <i>
      <x v="5"/>
    </i>
    <i t="grand">
      <x/>
    </i>
  </rowItems>
  <colItems count="1">
    <i/>
  </colItems>
  <dataFields count="1">
    <dataField name="Average of Amount" fld="3" subtotal="average" baseField="1" baseItem="0"/>
  </dataFields>
  <formats count="16">
    <format dxfId="33">
      <pivotArea type="all" dataOnly="0" outline="0" fieldPosition="0"/>
    </format>
    <format dxfId="32">
      <pivotArea outline="0" collapsedLevelsAreSubtotals="1" fieldPosition="0"/>
    </format>
    <format dxfId="31">
      <pivotArea dataOnly="0" labelOnly="1" fieldPosition="0">
        <references count="1">
          <reference field="1" count="0"/>
        </references>
      </pivotArea>
    </format>
    <format dxfId="30">
      <pivotArea dataOnly="0" labelOnly="1" grandRow="1" outline="0" fieldPosition="0"/>
    </format>
    <format dxfId="29">
      <pivotArea field="1" type="button" dataOnly="0" labelOnly="1" outline="0" axis="axisRow" fieldPosition="0"/>
    </format>
    <format dxfId="28">
      <pivotArea dataOnly="0" labelOnly="1" outline="0" axis="axisValues" fieldPosition="0"/>
    </format>
    <format dxfId="27">
      <pivotArea dataOnly="0" grandRow="1" fieldPosition="0"/>
    </format>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grandRow="1" outline="0" fieldPosition="0"/>
    </format>
    <format dxfId="18">
      <pivotArea dataOnly="0" labelOnly="1" outline="0" axis="axisValues" fieldPosition="0"/>
    </format>
    <format dxfId="5">
      <pivotArea dataOnly="0" labelOnly="1" fieldPosition="0">
        <references count="1">
          <reference field="1" count="0"/>
        </references>
      </pivotArea>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5F4F277-64B2-40EC-AEBB-05B140676FAD}" sourceName="Product">
  <pivotTables>
    <pivotTable tabId="3" name="PivotTable1"/>
  </pivotTables>
  <data>
    <tabular pivotCacheId="1566838477">
      <items count="6">
        <i x="2" s="1"/>
        <i x="3" s="1"/>
        <i x="4" s="1"/>
        <i x="0"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CEA3EF1-893C-4400-8693-E6E646D2A84A}" sourceName="City">
  <pivotTables>
    <pivotTable tabId="3" name="PivotTable1"/>
  </pivotTables>
  <data>
    <tabular pivotCacheId="1566838477">
      <items count="5">
        <i x="4" s="1"/>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F44DC11-2CE6-4BD0-8ED8-EA37C1833F76}" cache="Slicer_Product" caption="Product" rowHeight="225425"/>
  <slicer name="City" xr10:uid="{CAADB66A-1944-4176-A257-C5C5DDC6DA5A}" cache="Slicer_City" caption="City" rowHeight="22542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9"/>
  <sheetViews>
    <sheetView workbookViewId="0">
      <selection activeCell="F14" sqref="F14"/>
    </sheetView>
  </sheetViews>
  <sheetFormatPr defaultColWidth="12.5703125" defaultRowHeight="15.75" customHeight="1" x14ac:dyDescent="0.2"/>
  <cols>
    <col min="1" max="1" width="7.5703125" bestFit="1" customWidth="1"/>
    <col min="2" max="2" width="13.140625" bestFit="1" customWidth="1"/>
    <col min="3" max="3" width="9" bestFit="1" customWidth="1"/>
    <col min="4" max="4" width="8.5703125" bestFit="1" customWidth="1"/>
    <col min="5" max="5" width="11.5703125" bestFit="1" customWidth="1"/>
    <col min="6" max="6" width="16.7109375" bestFit="1" customWidth="1"/>
    <col min="7" max="7" width="9.28515625" bestFit="1" customWidth="1"/>
    <col min="8" max="8" width="4.85546875" bestFit="1" customWidth="1"/>
  </cols>
  <sheetData>
    <row r="1" spans="1:8" x14ac:dyDescent="0.2">
      <c r="A1" s="1" t="s">
        <v>0</v>
      </c>
      <c r="B1" s="1" t="s">
        <v>1</v>
      </c>
      <c r="C1" s="1" t="s">
        <v>2</v>
      </c>
      <c r="D1" s="1" t="s">
        <v>3</v>
      </c>
      <c r="E1" s="1" t="s">
        <v>4</v>
      </c>
      <c r="F1" s="12" t="s">
        <v>25</v>
      </c>
      <c r="G1" s="12" t="s">
        <v>26</v>
      </c>
      <c r="H1" s="12" t="s">
        <v>27</v>
      </c>
    </row>
    <row r="2" spans="1:8" x14ac:dyDescent="0.2">
      <c r="A2" s="2" t="s">
        <v>5</v>
      </c>
      <c r="B2" s="2" t="s">
        <v>6</v>
      </c>
      <c r="C2" s="2" t="s">
        <v>7</v>
      </c>
      <c r="D2" s="2">
        <v>1200</v>
      </c>
      <c r="E2" s="11">
        <v>45139</v>
      </c>
      <c r="F2" s="8" t="str">
        <f>VLOOKUP($B2,Customer!$A$2:$D$12,2,0)</f>
        <v>Alice</v>
      </c>
      <c r="G2" s="8" t="str">
        <f>VLOOKUP($B2,Customer!$A$2:$D$12,3,0)</f>
        <v>Mumbai</v>
      </c>
      <c r="H2" s="8">
        <f>VLOOKUP($B2,Customer!$A$2:$D$12,4,0)</f>
        <v>28</v>
      </c>
    </row>
    <row r="3" spans="1:8" x14ac:dyDescent="0.2">
      <c r="A3" s="2" t="s">
        <v>8</v>
      </c>
      <c r="B3" s="2" t="s">
        <v>9</v>
      </c>
      <c r="C3" s="2" t="s">
        <v>10</v>
      </c>
      <c r="D3" s="2">
        <v>700</v>
      </c>
      <c r="E3" s="11">
        <v>45140</v>
      </c>
      <c r="F3" s="8" t="str">
        <f>VLOOKUP($B3,Customer!$A$2:$D$12,2,0)</f>
        <v>Bob</v>
      </c>
      <c r="G3" s="8" t="str">
        <f>VLOOKUP($B3,Customer!$A$2:$D$12,3,0)</f>
        <v>Delhi</v>
      </c>
      <c r="H3" s="8">
        <f>VLOOKUP($B3,Customer!$A$2:$D$12,4,0)</f>
        <v>35</v>
      </c>
    </row>
    <row r="4" spans="1:8" x14ac:dyDescent="0.2">
      <c r="A4" s="2" t="s">
        <v>11</v>
      </c>
      <c r="B4" s="2" t="s">
        <v>12</v>
      </c>
      <c r="C4" s="2" t="s">
        <v>13</v>
      </c>
      <c r="D4" s="2">
        <v>950</v>
      </c>
      <c r="E4" s="11">
        <v>45143</v>
      </c>
      <c r="F4" s="8" t="str">
        <f>VLOOKUP($B4,Customer!$A$2:$D$12,2,0)</f>
        <v>Emma</v>
      </c>
      <c r="G4" s="8" t="str">
        <f>VLOOKUP($B4,Customer!$A$2:$D$12,3,0)</f>
        <v>Kolkata</v>
      </c>
      <c r="H4" s="8">
        <f>VLOOKUP($B4,Customer!$A$2:$D$12,4,0)</f>
        <v>26</v>
      </c>
    </row>
    <row r="5" spans="1:8" x14ac:dyDescent="0.2">
      <c r="A5" s="2" t="s">
        <v>14</v>
      </c>
      <c r="B5" s="2" t="s">
        <v>15</v>
      </c>
      <c r="C5" s="2" t="s">
        <v>16</v>
      </c>
      <c r="D5" s="2">
        <v>400</v>
      </c>
      <c r="E5" s="11">
        <v>45170</v>
      </c>
      <c r="F5" s="8" t="str">
        <f>VLOOKUP($B5,Customer!$A$2:$D$12,2,0)</f>
        <v>Carol</v>
      </c>
      <c r="G5" s="8" t="str">
        <f>VLOOKUP($B5,Customer!$A$2:$D$12,3,0)</f>
        <v>Chennai</v>
      </c>
      <c r="H5" s="8">
        <f>VLOOKUP($B5,Customer!$A$2:$D$12,4,0)</f>
        <v>42</v>
      </c>
    </row>
    <row r="6" spans="1:8" x14ac:dyDescent="0.2">
      <c r="A6" s="2" t="s">
        <v>17</v>
      </c>
      <c r="B6" s="2" t="s">
        <v>18</v>
      </c>
      <c r="C6" s="2" t="s">
        <v>19</v>
      </c>
      <c r="D6" s="2">
        <v>1700</v>
      </c>
      <c r="E6" s="11">
        <v>45181</v>
      </c>
      <c r="F6" s="8" t="str">
        <f>VLOOKUP($B6,Customer!$A$2:$D$12,2,0)</f>
        <v>David</v>
      </c>
      <c r="G6" s="8" t="str">
        <f>VLOOKUP($B6,Customer!$A$2:$D$12,3,0)</f>
        <v>Bangalore</v>
      </c>
      <c r="H6" s="8">
        <f>VLOOKUP($B6,Customer!$A$2:$D$12,4,0)</f>
        <v>30</v>
      </c>
    </row>
    <row r="7" spans="1:8" x14ac:dyDescent="0.2">
      <c r="A7" s="2" t="s">
        <v>20</v>
      </c>
      <c r="B7" s="2" t="s">
        <v>21</v>
      </c>
      <c r="C7" s="2" t="s">
        <v>22</v>
      </c>
      <c r="D7" s="2">
        <v>1800</v>
      </c>
      <c r="E7" s="11">
        <v>45184</v>
      </c>
      <c r="F7" s="8" t="str">
        <f>VLOOKUP($B7,Customer!$A$2:$D$12,2,0)</f>
        <v>Frank</v>
      </c>
      <c r="G7" s="8" t="str">
        <f>VLOOKUP($B7,Customer!$A$2:$D$12,3,0)</f>
        <v>Mumbai</v>
      </c>
      <c r="H7" s="8">
        <f>VLOOKUP($B7,Customer!$A$2:$D$12,4,0)</f>
        <v>45</v>
      </c>
    </row>
    <row r="8" spans="1:8" x14ac:dyDescent="0.2">
      <c r="A8" s="2" t="s">
        <v>23</v>
      </c>
      <c r="B8" s="2" t="s">
        <v>6</v>
      </c>
      <c r="C8" s="2" t="s">
        <v>10</v>
      </c>
      <c r="D8" s="2">
        <v>650</v>
      </c>
      <c r="E8" s="11">
        <v>45202</v>
      </c>
      <c r="F8" s="8" t="str">
        <f>VLOOKUP($B8,Customer!$A$2:$D$12,2,0)</f>
        <v>Alice</v>
      </c>
      <c r="G8" s="8" t="str">
        <f>VLOOKUP($B8,Customer!$A$2:$D$12,3,0)</f>
        <v>Mumbai</v>
      </c>
      <c r="H8" s="8">
        <f>VLOOKUP($B8,Customer!$A$2:$D$12,4,0)</f>
        <v>28</v>
      </c>
    </row>
    <row r="9" spans="1:8" x14ac:dyDescent="0.2">
      <c r="A9" s="2" t="s">
        <v>24</v>
      </c>
      <c r="B9" s="2" t="s">
        <v>9</v>
      </c>
      <c r="C9" s="2" t="s">
        <v>19</v>
      </c>
      <c r="D9" s="2">
        <v>1450</v>
      </c>
      <c r="E9" s="11">
        <v>45203</v>
      </c>
      <c r="F9" s="8" t="str">
        <f>VLOOKUP($B9,Customer!$A$2:$D$12,2,0)</f>
        <v>Bob</v>
      </c>
      <c r="G9" s="8" t="str">
        <f>VLOOKUP($B9,Customer!$A$2:$D$12,3,0)</f>
        <v>Delhi</v>
      </c>
      <c r="H9" s="8">
        <f>VLOOKUP($B9,Customer!$A$2:$D$12,4,0)</f>
        <v>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12"/>
  <sheetViews>
    <sheetView workbookViewId="0">
      <selection activeCell="D11" sqref="D11"/>
    </sheetView>
  </sheetViews>
  <sheetFormatPr defaultColWidth="12.5703125" defaultRowHeight="15.75" customHeight="1" x14ac:dyDescent="0.2"/>
  <cols>
    <col min="2" max="2" width="21" customWidth="1"/>
  </cols>
  <sheetData>
    <row r="1" spans="1:4" x14ac:dyDescent="0.2">
      <c r="A1" s="3" t="s">
        <v>1</v>
      </c>
      <c r="B1" s="3" t="s">
        <v>25</v>
      </c>
      <c r="C1" s="3" t="s">
        <v>26</v>
      </c>
      <c r="D1" s="3" t="s">
        <v>27</v>
      </c>
    </row>
    <row r="2" spans="1:4" x14ac:dyDescent="0.2">
      <c r="A2" s="2" t="s">
        <v>6</v>
      </c>
      <c r="B2" s="2" t="s">
        <v>28</v>
      </c>
      <c r="C2" s="2" t="s">
        <v>29</v>
      </c>
      <c r="D2" s="2">
        <v>28</v>
      </c>
    </row>
    <row r="3" spans="1:4" x14ac:dyDescent="0.2">
      <c r="A3" s="2" t="s">
        <v>9</v>
      </c>
      <c r="B3" s="2" t="s">
        <v>30</v>
      </c>
      <c r="C3" s="2" t="s">
        <v>31</v>
      </c>
      <c r="D3" s="2">
        <v>35</v>
      </c>
    </row>
    <row r="4" spans="1:4" x14ac:dyDescent="0.2">
      <c r="A4" s="2" t="s">
        <v>15</v>
      </c>
      <c r="B4" s="2" t="s">
        <v>32</v>
      </c>
      <c r="C4" s="2" t="s">
        <v>33</v>
      </c>
      <c r="D4" s="2">
        <v>42</v>
      </c>
    </row>
    <row r="5" spans="1:4" x14ac:dyDescent="0.2">
      <c r="A5" s="2" t="s">
        <v>18</v>
      </c>
      <c r="B5" s="2" t="s">
        <v>34</v>
      </c>
      <c r="C5" s="2" t="s">
        <v>35</v>
      </c>
      <c r="D5" s="2">
        <v>30</v>
      </c>
    </row>
    <row r="6" spans="1:4" x14ac:dyDescent="0.2">
      <c r="A6" s="2" t="s">
        <v>12</v>
      </c>
      <c r="B6" s="2" t="s">
        <v>36</v>
      </c>
      <c r="C6" s="2" t="s">
        <v>37</v>
      </c>
      <c r="D6" s="2">
        <v>26</v>
      </c>
    </row>
    <row r="7" spans="1:4" x14ac:dyDescent="0.2">
      <c r="A7" s="2" t="s">
        <v>21</v>
      </c>
      <c r="B7" s="2" t="s">
        <v>38</v>
      </c>
      <c r="C7" s="2" t="s">
        <v>29</v>
      </c>
      <c r="D7" s="2">
        <v>45</v>
      </c>
    </row>
    <row r="8" spans="1:4" x14ac:dyDescent="0.2">
      <c r="A8" s="2" t="s">
        <v>39</v>
      </c>
      <c r="B8" s="2" t="s">
        <v>40</v>
      </c>
      <c r="C8" s="2" t="s">
        <v>31</v>
      </c>
      <c r="D8" s="2">
        <v>31</v>
      </c>
    </row>
    <row r="9" spans="1:4" x14ac:dyDescent="0.2">
      <c r="A9" s="2" t="s">
        <v>41</v>
      </c>
      <c r="B9" s="2" t="s">
        <v>42</v>
      </c>
      <c r="C9" s="2" t="s">
        <v>33</v>
      </c>
      <c r="D9" s="2">
        <v>40</v>
      </c>
    </row>
    <row r="10" spans="1:4" x14ac:dyDescent="0.2">
      <c r="A10" s="2" t="s">
        <v>43</v>
      </c>
      <c r="B10" s="2" t="s">
        <v>44</v>
      </c>
      <c r="C10" s="2" t="s">
        <v>35</v>
      </c>
      <c r="D10" s="2">
        <v>34</v>
      </c>
    </row>
    <row r="11" spans="1:4" x14ac:dyDescent="0.2">
      <c r="A11" s="2" t="s">
        <v>45</v>
      </c>
      <c r="B11" s="2" t="s">
        <v>46</v>
      </c>
      <c r="C11" s="2" t="s">
        <v>37</v>
      </c>
      <c r="D11" s="2">
        <v>29</v>
      </c>
    </row>
    <row r="12" spans="1:4" x14ac:dyDescent="0.2">
      <c r="A12" s="2" t="s">
        <v>47</v>
      </c>
      <c r="B12" s="2" t="s">
        <v>48</v>
      </c>
      <c r="C12" s="2" t="s">
        <v>29</v>
      </c>
      <c r="D12" s="2">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66260-CF79-4CCF-A632-1E1C8E7FCF6B}">
  <dimension ref="A1:B11"/>
  <sheetViews>
    <sheetView workbookViewId="0">
      <selection activeCell="A10" sqref="A10"/>
    </sheetView>
  </sheetViews>
  <sheetFormatPr defaultRowHeight="12.75" x14ac:dyDescent="0.2"/>
  <cols>
    <col min="1" max="1" width="9.28515625" bestFit="1" customWidth="1"/>
    <col min="2" max="2" width="12.85546875" bestFit="1" customWidth="1"/>
  </cols>
  <sheetData>
    <row r="1" spans="1:2" ht="15" x14ac:dyDescent="0.25">
      <c r="A1" s="7" t="s">
        <v>26</v>
      </c>
      <c r="B1" s="7" t="s">
        <v>52</v>
      </c>
    </row>
    <row r="2" spans="1:2" x14ac:dyDescent="0.2">
      <c r="A2" s="8" t="s">
        <v>29</v>
      </c>
      <c r="B2" s="8">
        <v>3650</v>
      </c>
    </row>
    <row r="3" spans="1:2" x14ac:dyDescent="0.2">
      <c r="A3" s="8" t="s">
        <v>31</v>
      </c>
      <c r="B3" s="8">
        <v>2150</v>
      </c>
    </row>
    <row r="4" spans="1:2" x14ac:dyDescent="0.2">
      <c r="A4" s="8" t="s">
        <v>33</v>
      </c>
      <c r="B4" s="8">
        <v>400</v>
      </c>
    </row>
    <row r="5" spans="1:2" x14ac:dyDescent="0.2">
      <c r="A5" s="8" t="s">
        <v>35</v>
      </c>
      <c r="B5" s="8">
        <v>1700</v>
      </c>
    </row>
    <row r="6" spans="1:2" x14ac:dyDescent="0.2">
      <c r="A6" s="8" t="s">
        <v>37</v>
      </c>
      <c r="B6" s="8">
        <v>950</v>
      </c>
    </row>
    <row r="10" spans="1:2" x14ac:dyDescent="0.2">
      <c r="A10" s="19" t="s">
        <v>62</v>
      </c>
    </row>
    <row r="11" spans="1:2" x14ac:dyDescent="0.2">
      <c r="A11" s="19" t="s">
        <v>63</v>
      </c>
    </row>
  </sheetData>
  <conditionalFormatting sqref="B1:B6">
    <cfRule type="top10" dxfId="38" priority="1" rank="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5659A-D3AF-4F35-9161-5D8405BB434A}">
  <dimension ref="A2:I39"/>
  <sheetViews>
    <sheetView workbookViewId="0">
      <selection activeCell="J9" sqref="J9"/>
    </sheetView>
  </sheetViews>
  <sheetFormatPr defaultRowHeight="12.75" x14ac:dyDescent="0.2"/>
  <cols>
    <col min="1" max="1" width="13.85546875" bestFit="1" customWidth="1"/>
    <col min="2" max="2" width="15.140625" bestFit="1" customWidth="1"/>
    <col min="9" max="9" width="9.140625" customWidth="1"/>
  </cols>
  <sheetData>
    <row r="2" spans="1:2" x14ac:dyDescent="0.2">
      <c r="A2" s="20" t="s">
        <v>64</v>
      </c>
      <c r="B2" s="21"/>
    </row>
    <row r="3" spans="1:2" x14ac:dyDescent="0.2">
      <c r="A3" s="4" t="s">
        <v>49</v>
      </c>
      <c r="B3" t="s">
        <v>51</v>
      </c>
    </row>
    <row r="4" spans="1:2" x14ac:dyDescent="0.2">
      <c r="A4" s="5" t="s">
        <v>13</v>
      </c>
      <c r="B4" s="6">
        <v>950</v>
      </c>
    </row>
    <row r="5" spans="1:2" x14ac:dyDescent="0.2">
      <c r="A5" s="5" t="s">
        <v>16</v>
      </c>
      <c r="B5" s="6">
        <v>400</v>
      </c>
    </row>
    <row r="6" spans="1:2" x14ac:dyDescent="0.2">
      <c r="A6" s="5" t="s">
        <v>19</v>
      </c>
      <c r="B6" s="6">
        <v>3150</v>
      </c>
    </row>
    <row r="7" spans="1:2" x14ac:dyDescent="0.2">
      <c r="A7" s="5" t="s">
        <v>7</v>
      </c>
      <c r="B7" s="6">
        <v>1200</v>
      </c>
    </row>
    <row r="8" spans="1:2" x14ac:dyDescent="0.2">
      <c r="A8" s="5" t="s">
        <v>10</v>
      </c>
      <c r="B8" s="6">
        <v>1350</v>
      </c>
    </row>
    <row r="9" spans="1:2" x14ac:dyDescent="0.2">
      <c r="A9" s="5" t="s">
        <v>22</v>
      </c>
      <c r="B9" s="6">
        <v>1800</v>
      </c>
    </row>
    <row r="10" spans="1:2" x14ac:dyDescent="0.2">
      <c r="A10" s="5" t="s">
        <v>50</v>
      </c>
      <c r="B10" s="6">
        <v>8850</v>
      </c>
    </row>
    <row r="14" spans="1:2" x14ac:dyDescent="0.2">
      <c r="A14" s="10" t="s">
        <v>71</v>
      </c>
    </row>
    <row r="35" spans="1:9" ht="18.75" x14ac:dyDescent="0.3">
      <c r="I35" s="27" t="s">
        <v>70</v>
      </c>
    </row>
    <row r="38" spans="1:9" x14ac:dyDescent="0.2">
      <c r="A38" s="22" t="s">
        <v>72</v>
      </c>
    </row>
    <row r="39" spans="1:9" x14ac:dyDescent="0.2">
      <c r="A39" s="22" t="s">
        <v>73</v>
      </c>
    </row>
  </sheetData>
  <mergeCells count="1">
    <mergeCell ref="A2:B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36BE4-E341-4DEE-9984-9926C286D287}">
  <dimension ref="A1:AD59"/>
  <sheetViews>
    <sheetView showGridLines="0" tabSelected="1" workbookViewId="0">
      <pane xSplit="25" ySplit="43" topLeftCell="Z44" activePane="bottomRight" state="frozen"/>
      <selection pane="topRight" activeCell="Z1" sqref="Z1"/>
      <selection pane="bottomLeft" activeCell="A44" sqref="A44"/>
      <selection pane="bottomRight" activeCell="N30" sqref="N30"/>
    </sheetView>
  </sheetViews>
  <sheetFormatPr defaultRowHeight="12.75" x14ac:dyDescent="0.2"/>
  <cols>
    <col min="1" max="1" width="23.140625" bestFit="1" customWidth="1"/>
    <col min="2" max="2" width="18.7109375" bestFit="1" customWidth="1"/>
    <col min="5" max="5" width="13.85546875" bestFit="1" customWidth="1"/>
    <col min="6" max="6" width="18.7109375" bestFit="1" customWidth="1"/>
    <col min="20" max="20" width="29.5703125" bestFit="1" customWidth="1"/>
  </cols>
  <sheetData>
    <row r="1" spans="1:30" x14ac:dyDescent="0.2">
      <c r="A1" s="9"/>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x14ac:dyDescent="0.2">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x14ac:dyDescent="0.2">
      <c r="A3" s="9"/>
      <c r="B3" s="9"/>
      <c r="C3" s="9"/>
      <c r="D3" s="9"/>
      <c r="E3" s="9"/>
      <c r="F3" s="9"/>
      <c r="G3" s="9"/>
      <c r="H3" s="9"/>
      <c r="I3" s="9"/>
      <c r="J3" s="9"/>
      <c r="K3" s="9"/>
      <c r="L3" s="9"/>
      <c r="M3" s="9"/>
      <c r="N3" s="9"/>
      <c r="O3" s="9"/>
      <c r="P3" s="9"/>
      <c r="Q3" s="9"/>
      <c r="R3" s="9"/>
      <c r="S3" s="9"/>
      <c r="T3" s="9"/>
      <c r="U3" s="9"/>
      <c r="V3" s="9"/>
      <c r="W3" s="9"/>
      <c r="X3" s="9"/>
      <c r="Y3" s="9"/>
      <c r="Z3" s="9"/>
      <c r="AA3" s="9"/>
      <c r="AB3" s="9"/>
      <c r="AC3" s="9"/>
      <c r="AD3" s="9"/>
    </row>
    <row r="4" spans="1:30" x14ac:dyDescent="0.2">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row>
    <row r="5" spans="1:30" x14ac:dyDescent="0.2">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row>
    <row r="6" spans="1:30" ht="13.5" thickBot="1" x14ac:dyDescent="0.25">
      <c r="A6" s="13"/>
      <c r="B6" s="13"/>
      <c r="C6" s="13"/>
      <c r="D6" s="13"/>
      <c r="E6" s="16" t="s">
        <v>59</v>
      </c>
      <c r="F6" s="16"/>
      <c r="G6" s="13"/>
      <c r="H6" s="13"/>
      <c r="I6" s="13"/>
      <c r="J6" s="13"/>
      <c r="K6" s="13"/>
      <c r="L6" s="13"/>
      <c r="M6" s="13"/>
      <c r="N6" s="13"/>
      <c r="O6" s="13"/>
      <c r="P6" s="13"/>
      <c r="Q6" s="13"/>
      <c r="R6" s="13"/>
      <c r="S6" s="13"/>
      <c r="T6" s="13"/>
      <c r="U6" s="13"/>
      <c r="V6" s="13"/>
      <c r="W6" s="13"/>
      <c r="X6" s="13"/>
      <c r="Y6" s="13"/>
      <c r="Z6" s="13"/>
      <c r="AA6" s="13"/>
      <c r="AB6" s="13"/>
    </row>
    <row r="7" spans="1:30" ht="13.5" thickBot="1" x14ac:dyDescent="0.25">
      <c r="A7" s="17" t="s">
        <v>53</v>
      </c>
      <c r="B7" s="31">
        <f>SUM('Sales+Customer'!D2:D9)</f>
        <v>8850</v>
      </c>
      <c r="C7" s="13"/>
      <c r="D7" s="13"/>
      <c r="E7" s="14" t="s">
        <v>1</v>
      </c>
      <c r="F7" s="14" t="s">
        <v>55</v>
      </c>
      <c r="G7" s="13"/>
      <c r="H7" s="13"/>
      <c r="I7" s="13"/>
      <c r="J7" s="13"/>
      <c r="K7" s="13"/>
      <c r="L7" s="13"/>
      <c r="M7" s="13"/>
      <c r="N7" s="13"/>
      <c r="O7" s="13"/>
      <c r="P7" s="13"/>
      <c r="Q7" s="13"/>
      <c r="R7" s="13"/>
      <c r="S7" s="13"/>
      <c r="T7" s="13"/>
      <c r="U7" s="13"/>
      <c r="V7" s="13"/>
      <c r="W7" s="13"/>
      <c r="X7" s="13"/>
      <c r="Y7" s="13"/>
      <c r="Z7" s="13"/>
      <c r="AA7" s="13"/>
      <c r="AB7" s="13"/>
    </row>
    <row r="8" spans="1:30" ht="18.75" thickBot="1" x14ac:dyDescent="0.3">
      <c r="A8" s="18" t="s">
        <v>54</v>
      </c>
      <c r="B8" s="32">
        <f>COUNTA(E8:E13)</f>
        <v>6</v>
      </c>
      <c r="C8" s="13"/>
      <c r="D8" s="13"/>
      <c r="E8" s="28" t="s">
        <v>6</v>
      </c>
      <c r="F8" s="29">
        <v>925</v>
      </c>
      <c r="G8" s="13"/>
      <c r="H8" s="13"/>
      <c r="I8" s="13"/>
      <c r="J8" s="13"/>
      <c r="K8" s="13"/>
      <c r="L8" s="13"/>
      <c r="M8" s="13"/>
      <c r="N8" s="13"/>
      <c r="O8" s="13"/>
      <c r="P8" s="13"/>
      <c r="Q8" s="13"/>
      <c r="R8" s="13"/>
      <c r="S8" s="13"/>
      <c r="T8" s="23" t="s">
        <v>69</v>
      </c>
      <c r="U8" s="13"/>
      <c r="V8" s="13"/>
      <c r="W8" s="13"/>
      <c r="X8" s="13"/>
      <c r="Y8" s="13"/>
      <c r="Z8" s="13"/>
      <c r="AA8" s="13"/>
      <c r="AB8" s="13"/>
    </row>
    <row r="9" spans="1:30" x14ac:dyDescent="0.2">
      <c r="A9" s="13"/>
      <c r="B9" s="13"/>
      <c r="C9" s="13"/>
      <c r="D9" s="13"/>
      <c r="E9" s="28" t="s">
        <v>9</v>
      </c>
      <c r="F9" s="29">
        <v>1075</v>
      </c>
      <c r="G9" s="13"/>
      <c r="H9" s="13"/>
      <c r="I9" s="13"/>
      <c r="J9" s="13"/>
      <c r="K9" s="13"/>
      <c r="L9" s="13"/>
      <c r="M9" s="13"/>
      <c r="N9" s="13"/>
      <c r="O9" s="13"/>
      <c r="P9" s="13"/>
      <c r="Q9" s="13"/>
      <c r="R9" s="13"/>
      <c r="S9" s="13"/>
      <c r="T9" s="24" t="s">
        <v>65</v>
      </c>
      <c r="U9" s="13"/>
      <c r="V9" s="13"/>
      <c r="W9" s="13"/>
      <c r="X9" s="13"/>
      <c r="Y9" s="13"/>
      <c r="Z9" s="13"/>
      <c r="AA9" s="13"/>
      <c r="AB9" s="13"/>
    </row>
    <row r="10" spans="1:30" x14ac:dyDescent="0.2">
      <c r="A10" s="13"/>
      <c r="B10" s="13"/>
      <c r="C10" s="13"/>
      <c r="D10" s="13"/>
      <c r="E10" s="28" t="s">
        <v>15</v>
      </c>
      <c r="F10" s="29">
        <v>400</v>
      </c>
      <c r="G10" s="13"/>
      <c r="H10" s="13"/>
      <c r="I10" s="13"/>
      <c r="J10" s="13"/>
      <c r="K10" s="13"/>
      <c r="L10" s="13"/>
      <c r="M10" s="13"/>
      <c r="N10" s="13"/>
      <c r="O10" s="13"/>
      <c r="P10" s="13"/>
      <c r="Q10" s="13"/>
      <c r="R10" s="13"/>
      <c r="S10" s="13"/>
      <c r="T10" s="25" t="s">
        <v>53</v>
      </c>
      <c r="U10" s="13"/>
      <c r="V10" s="13"/>
      <c r="W10" s="13"/>
      <c r="X10" s="13"/>
      <c r="Y10" s="13"/>
      <c r="Z10" s="13"/>
      <c r="AA10" s="13"/>
      <c r="AB10" s="13"/>
    </row>
    <row r="11" spans="1:30" x14ac:dyDescent="0.2">
      <c r="A11" s="13"/>
      <c r="B11" s="13"/>
      <c r="C11" s="13"/>
      <c r="D11" s="13"/>
      <c r="E11" s="28" t="s">
        <v>18</v>
      </c>
      <c r="F11" s="29">
        <v>1700</v>
      </c>
      <c r="G11" s="13"/>
      <c r="H11" s="13"/>
      <c r="I11" s="13"/>
      <c r="J11" s="13"/>
      <c r="K11" s="13"/>
      <c r="L11" s="13"/>
      <c r="M11" s="13"/>
      <c r="N11" s="13"/>
      <c r="O11" s="13"/>
      <c r="P11" s="13"/>
      <c r="Q11" s="13"/>
      <c r="R11" s="13"/>
      <c r="S11" s="13"/>
      <c r="T11" s="25" t="s">
        <v>66</v>
      </c>
      <c r="U11" s="13"/>
      <c r="V11" s="13"/>
      <c r="W11" s="13"/>
      <c r="X11" s="13"/>
      <c r="Y11" s="13"/>
      <c r="Z11" s="13"/>
      <c r="AA11" s="13"/>
      <c r="AB11" s="13"/>
    </row>
    <row r="12" spans="1:30" x14ac:dyDescent="0.2">
      <c r="A12" s="13"/>
      <c r="B12" s="13"/>
      <c r="C12" s="13"/>
      <c r="D12" s="13"/>
      <c r="E12" s="28" t="s">
        <v>12</v>
      </c>
      <c r="F12" s="29">
        <v>950</v>
      </c>
      <c r="G12" s="13"/>
      <c r="H12" s="13"/>
      <c r="I12" s="13"/>
      <c r="J12" s="13"/>
      <c r="K12" s="13"/>
      <c r="L12" s="13"/>
      <c r="M12" s="13"/>
      <c r="N12" s="13"/>
      <c r="O12" s="13"/>
      <c r="P12" s="13"/>
      <c r="Q12" s="13"/>
      <c r="R12" s="13"/>
      <c r="S12" s="13"/>
      <c r="T12" s="25" t="s">
        <v>67</v>
      </c>
      <c r="U12" s="13"/>
      <c r="V12" s="13"/>
      <c r="W12" s="13"/>
      <c r="X12" s="13"/>
      <c r="Y12" s="13"/>
      <c r="Z12" s="13"/>
      <c r="AA12" s="13"/>
      <c r="AB12" s="13"/>
    </row>
    <row r="13" spans="1:30" ht="13.5" thickBot="1" x14ac:dyDescent="0.25">
      <c r="A13" s="13"/>
      <c r="B13" s="13"/>
      <c r="C13" s="13"/>
      <c r="D13" s="13"/>
      <c r="E13" s="28" t="s">
        <v>21</v>
      </c>
      <c r="F13" s="29">
        <v>1800</v>
      </c>
      <c r="G13" s="13"/>
      <c r="H13" s="13"/>
      <c r="I13" s="13"/>
      <c r="J13" s="13"/>
      <c r="K13" s="13"/>
      <c r="L13" s="13"/>
      <c r="M13" s="13"/>
      <c r="N13" s="13"/>
      <c r="O13" s="13"/>
      <c r="P13" s="13"/>
      <c r="Q13" s="13"/>
      <c r="R13" s="13"/>
      <c r="S13" s="13"/>
      <c r="T13" s="26" t="s">
        <v>68</v>
      </c>
      <c r="U13" s="13"/>
      <c r="V13" s="13"/>
      <c r="W13" s="13"/>
      <c r="X13" s="13"/>
      <c r="Y13" s="13"/>
      <c r="Z13" s="13"/>
      <c r="AA13" s="13"/>
      <c r="AB13" s="13"/>
    </row>
    <row r="14" spans="1:30" x14ac:dyDescent="0.2">
      <c r="A14" s="13"/>
      <c r="B14" s="13"/>
      <c r="C14" s="13"/>
      <c r="D14" s="13"/>
      <c r="E14" s="15" t="s">
        <v>50</v>
      </c>
      <c r="F14" s="30">
        <v>1106.25</v>
      </c>
      <c r="G14" s="13"/>
      <c r="H14" s="13"/>
      <c r="I14" s="13"/>
      <c r="J14" s="13"/>
      <c r="K14" s="13"/>
      <c r="L14" s="13"/>
      <c r="M14" s="13"/>
      <c r="N14" s="13"/>
      <c r="O14" s="13"/>
      <c r="P14" s="13"/>
      <c r="Q14" s="13"/>
      <c r="R14" s="13"/>
      <c r="S14" s="13"/>
      <c r="T14" s="13"/>
      <c r="U14" s="13"/>
      <c r="V14" s="13"/>
      <c r="W14" s="13"/>
      <c r="X14" s="13"/>
      <c r="Y14" s="13"/>
      <c r="Z14" s="13"/>
      <c r="AA14" s="13"/>
      <c r="AB14" s="13"/>
    </row>
    <row r="15" spans="1:30" x14ac:dyDescent="0.2">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row>
    <row r="16" spans="1:30" x14ac:dyDescent="0.2">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row>
    <row r="17" spans="1:28" x14ac:dyDescent="0.2">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row>
    <row r="18" spans="1:28" x14ac:dyDescent="0.2">
      <c r="A18" s="16" t="s">
        <v>61</v>
      </c>
      <c r="B18" s="16"/>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row>
    <row r="19" spans="1:28" x14ac:dyDescent="0.2">
      <c r="A19" s="14" t="s">
        <v>60</v>
      </c>
      <c r="B19" s="14" t="s">
        <v>55</v>
      </c>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row>
    <row r="20" spans="1:28" x14ac:dyDescent="0.2">
      <c r="A20" s="28" t="s">
        <v>56</v>
      </c>
      <c r="B20" s="29">
        <v>950</v>
      </c>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row>
    <row r="21" spans="1:28" x14ac:dyDescent="0.2">
      <c r="A21" s="28" t="s">
        <v>57</v>
      </c>
      <c r="B21" s="29">
        <v>1300</v>
      </c>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row>
    <row r="22" spans="1:28" x14ac:dyDescent="0.2">
      <c r="A22" s="28" t="s">
        <v>58</v>
      </c>
      <c r="B22" s="29">
        <v>1050</v>
      </c>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row>
    <row r="23" spans="1:28" x14ac:dyDescent="0.2">
      <c r="A23" s="15" t="s">
        <v>50</v>
      </c>
      <c r="B23" s="30">
        <v>1106.25</v>
      </c>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row>
    <row r="24" spans="1:28" x14ac:dyDescent="0.2">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row>
    <row r="25" spans="1:28" x14ac:dyDescent="0.2">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row>
    <row r="26" spans="1:28" x14ac:dyDescent="0.2">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row>
    <row r="27" spans="1:28" x14ac:dyDescent="0.2">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row>
    <row r="28" spans="1:28" x14ac:dyDescent="0.2">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row>
    <row r="29" spans="1:28" x14ac:dyDescent="0.2">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row>
    <row r="30" spans="1:28" x14ac:dyDescent="0.2">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row>
    <row r="31" spans="1:28" x14ac:dyDescent="0.2">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row>
    <row r="32" spans="1:28" x14ac:dyDescent="0.2">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row>
    <row r="33" spans="1:30" x14ac:dyDescent="0.2">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row>
    <row r="34" spans="1:30" x14ac:dyDescent="0.2">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row>
    <row r="35" spans="1:30" x14ac:dyDescent="0.2">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row>
    <row r="36" spans="1:30" x14ac:dyDescent="0.2">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row>
    <row r="37" spans="1:30" x14ac:dyDescent="0.2">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row>
    <row r="38" spans="1:30" x14ac:dyDescent="0.2">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row>
    <row r="39" spans="1:30" x14ac:dyDescent="0.2">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row>
    <row r="40" spans="1:30" x14ac:dyDescent="0.2">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row>
    <row r="41" spans="1:30" x14ac:dyDescent="0.2">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row>
    <row r="42" spans="1:30" x14ac:dyDescent="0.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row>
    <row r="43" spans="1:30" x14ac:dyDescent="0.2">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row>
    <row r="44" spans="1:30" x14ac:dyDescent="0.2">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row>
    <row r="45" spans="1:30" x14ac:dyDescent="0.2">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x14ac:dyDescent="0.2">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row>
    <row r="47" spans="1:30" x14ac:dyDescent="0.2">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row>
    <row r="48" spans="1:30" x14ac:dyDescent="0.2">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row>
    <row r="49" spans="1:28" x14ac:dyDescent="0.2">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row>
    <row r="50" spans="1:28" x14ac:dyDescent="0.2">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row>
    <row r="51" spans="1:28"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row>
    <row r="52" spans="1:28"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row>
    <row r="53" spans="1:28"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row>
    <row r="54" spans="1:28"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row>
    <row r="55" spans="1:28"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row>
    <row r="56" spans="1:28"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row>
    <row r="57" spans="1:28"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row>
    <row r="58" spans="1:28"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row>
    <row r="59" spans="1:28"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row>
  </sheetData>
  <mergeCells count="2">
    <mergeCell ref="E6:F6"/>
    <mergeCell ref="A18:B18"/>
  </mergeCell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Sales+Customer</vt:lpstr>
      <vt:lpstr>Customer</vt:lpstr>
      <vt:lpstr>Excel PS 1 &amp; 3</vt:lpstr>
      <vt:lpstr>Excel PS 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Sunderam Bhartiya</cp:lastModifiedBy>
  <dcterms:modified xsi:type="dcterms:W3CDTF">2025-06-09T15:43:48Z</dcterms:modified>
</cp:coreProperties>
</file>